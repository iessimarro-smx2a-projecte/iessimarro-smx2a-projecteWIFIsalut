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supost" sheetId="1" state="visible" r:id="rId1"/>
    <sheet xmlns:r="http://schemas.openxmlformats.org/officeDocument/2006/relationships" name="Comparativa" sheetId="2" state="visible" r:id="rId2"/>
    <sheet xmlns:r="http://schemas.openxmlformats.org/officeDocument/2006/relationships" name="Pressupost Po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color rgb="00FFFFFF"/>
    </font>
    <font>
      <b val="1"/>
    </font>
    <font>
      <b val="1"/>
      <sz val="13"/>
    </font>
    <font>
      <b val="1"/>
      <color rgb="00B60205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9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0" customWidth="1" min="3" max="3"/>
    <col width="14" customWidth="1" min="4" max="4"/>
    <col width="14" customWidth="1" min="5" max="5"/>
    <col width="16" customWidth="1" min="6" max="6"/>
    <col width="8" customWidth="1" min="7" max="7"/>
  </cols>
  <sheetData>
    <row r="1">
      <c r="A1" s="1" t="inlineStr">
        <is>
          <t>Projecte WiFi SALUT · Pressupost detallat</t>
        </is>
      </c>
    </row>
    <row r="2">
      <c r="A2" s="2" t="inlineStr">
        <is>
          <t>Issue #3 · Responsable: AlumneC · Preus orientatius sense IVA consultats a distribuïdors en línia (cal confirmar-los abans de la compra)</t>
        </is>
      </c>
    </row>
    <row r="4">
      <c r="A4" s="3" t="inlineStr">
        <is>
          <t>Categoria</t>
        </is>
      </c>
      <c r="B4" s="3" t="inlineStr">
        <is>
          <t>Descripció</t>
        </is>
      </c>
      <c r="C4" s="3" t="inlineStr">
        <is>
          <t>Quantitat</t>
        </is>
      </c>
      <c r="D4" s="3" t="inlineStr">
        <is>
          <t>Preu unitari</t>
        </is>
      </c>
      <c r="E4" s="3" t="inlineStr">
        <is>
          <t>Subtotal</t>
        </is>
      </c>
      <c r="F4" s="3" t="inlineStr">
        <is>
          <t>Proveïdor triat</t>
        </is>
      </c>
      <c r="G4" s="3" t="inlineStr">
        <is>
          <t>Issue</t>
        </is>
      </c>
    </row>
    <row r="5">
      <c r="A5" s="4" t="inlineStr">
        <is>
          <t>Xarxa sense fil</t>
        </is>
      </c>
      <c r="B5" s="4" t="inlineStr">
        <is>
          <t>Punt d'accés UniFi 6 Lite (WiFi 6, PoE)</t>
        </is>
      </c>
      <c r="C5" s="4" t="n">
        <v>6</v>
      </c>
      <c r="D5" s="5">
        <f>Comparativa!F5</f>
        <v/>
      </c>
      <c r="E5" s="5">
        <f>C5*D5</f>
        <v/>
      </c>
      <c r="F5" s="4">
        <f>Comparativa!G5</f>
        <v/>
      </c>
      <c r="G5" s="4" t="inlineStr">
        <is>
          <t>#7</t>
        </is>
      </c>
    </row>
    <row r="6">
      <c r="A6" s="4" t="inlineStr">
        <is>
          <t>Commutació</t>
        </is>
      </c>
      <c r="B6" s="4" t="inlineStr">
        <is>
          <t>Switch UniFi USW-24-PoE (24 ports GbE, 16 PoE+, 95 W)</t>
        </is>
      </c>
      <c r="C6" s="4" t="n">
        <v>1</v>
      </c>
      <c r="D6" s="5">
        <f>Comparativa!F6</f>
        <v/>
      </c>
      <c r="E6" s="5">
        <f>C6*D6</f>
        <v/>
      </c>
      <c r="F6" s="4">
        <f>Comparativa!G6</f>
        <v/>
      </c>
      <c r="G6" s="4" t="inlineStr">
        <is>
          <t>#5</t>
        </is>
      </c>
    </row>
    <row r="7">
      <c r="A7" s="4" t="inlineStr">
        <is>
          <t>Servidor</t>
        </is>
      </c>
      <c r="B7" s="4" t="inlineStr">
        <is>
          <t>Servidor torre d'entrada (Xeon E-2300, 16 GB ECC, 2×1 TB RAID 1)</t>
        </is>
      </c>
      <c r="C7" s="4" t="n">
        <v>1</v>
      </c>
      <c r="D7" s="5">
        <f>Comparativa!F7</f>
        <v/>
      </c>
      <c r="E7" s="5">
        <f>C7*D7</f>
        <v/>
      </c>
      <c r="F7" s="4">
        <f>Comparativa!G7</f>
        <v/>
      </c>
      <c r="G7" s="4" t="inlineStr">
        <is>
          <t>#8</t>
        </is>
      </c>
    </row>
    <row r="8">
      <c r="A8" s="4" t="inlineStr">
        <is>
          <t>Armaris</t>
        </is>
      </c>
      <c r="B8" s="4" t="inlineStr">
        <is>
          <t>Rack mural 19" 12U 600×450 mm (principal)</t>
        </is>
      </c>
      <c r="C8" s="4" t="n">
        <v>1</v>
      </c>
      <c r="D8" s="5">
        <f>Comparativa!F8</f>
        <v/>
      </c>
      <c r="E8" s="5">
        <f>C8*D8</f>
        <v/>
      </c>
      <c r="F8" s="4">
        <f>Comparativa!G8</f>
        <v/>
      </c>
      <c r="G8" s="4" t="inlineStr">
        <is>
          <t>#5</t>
        </is>
      </c>
    </row>
    <row r="9">
      <c r="A9" s="4" t="inlineStr">
        <is>
          <t>Armaris</t>
        </is>
      </c>
      <c r="B9" s="4" t="inlineStr">
        <is>
          <t>Rack mural 19" 6U 600×450 mm (secundari)</t>
        </is>
      </c>
      <c r="C9" s="4" t="n">
        <v>2</v>
      </c>
      <c r="D9" s="5">
        <f>Comparativa!F9</f>
        <v/>
      </c>
      <c r="E9" s="5">
        <f>C9*D9</f>
        <v/>
      </c>
      <c r="F9" s="4">
        <f>Comparativa!G9</f>
        <v/>
      </c>
      <c r="G9" s="4" t="inlineStr">
        <is>
          <t>#5</t>
        </is>
      </c>
    </row>
    <row r="10">
      <c r="A10" s="4" t="inlineStr">
        <is>
          <t>Armaris</t>
        </is>
      </c>
      <c r="B10" s="4" t="inlineStr">
        <is>
          <t>Patch panel Cat6 24 ports 1U</t>
        </is>
      </c>
      <c r="C10" s="4" t="n">
        <v>1</v>
      </c>
      <c r="D10" s="5">
        <f>Comparativa!F10</f>
        <v/>
      </c>
      <c r="E10" s="5">
        <f>C10*D10</f>
        <v/>
      </c>
      <c r="F10" s="4">
        <f>Comparativa!G10</f>
        <v/>
      </c>
      <c r="G10" s="4" t="inlineStr">
        <is>
          <t>#5</t>
        </is>
      </c>
    </row>
    <row r="11">
      <c r="A11" s="4" t="inlineStr">
        <is>
          <t>Armaris</t>
        </is>
      </c>
      <c r="B11" s="4" t="inlineStr">
        <is>
          <t>Patch panel Cat6 12 ports</t>
        </is>
      </c>
      <c r="C11" s="4" t="n">
        <v>2</v>
      </c>
      <c r="D11" s="5">
        <f>Comparativa!F11</f>
        <v/>
      </c>
      <c r="E11" s="5">
        <f>C11*D11</f>
        <v/>
      </c>
      <c r="F11" s="4">
        <f>Comparativa!G11</f>
        <v/>
      </c>
      <c r="G11" s="4" t="inlineStr">
        <is>
          <t>#5</t>
        </is>
      </c>
    </row>
    <row r="12">
      <c r="A12" s="4" t="inlineStr">
        <is>
          <t>Armaris</t>
        </is>
      </c>
      <c r="B12" s="4" t="inlineStr">
        <is>
          <t>Organitzador de cables 1U</t>
        </is>
      </c>
      <c r="C12" s="4" t="n">
        <v>3</v>
      </c>
      <c r="D12" s="5">
        <f>Comparativa!F12</f>
        <v/>
      </c>
      <c r="E12" s="5">
        <f>C12*D12</f>
        <v/>
      </c>
      <c r="F12" s="4">
        <f>Comparativa!G12</f>
        <v/>
      </c>
      <c r="G12" s="4" t="inlineStr">
        <is>
          <t>#5</t>
        </is>
      </c>
    </row>
    <row r="13">
      <c r="A13" s="4" t="inlineStr">
        <is>
          <t>Armaris</t>
        </is>
      </c>
      <c r="B13" s="4" t="inlineStr">
        <is>
          <t>Regleta d'alimentació PDU 19" 8 preses</t>
        </is>
      </c>
      <c r="C13" s="4" t="n">
        <v>1</v>
      </c>
      <c r="D13" s="5">
        <f>Comparativa!F13</f>
        <v/>
      </c>
      <c r="E13" s="5">
        <f>C13*D13</f>
        <v/>
      </c>
      <c r="F13" s="4">
        <f>Comparativa!G13</f>
        <v/>
      </c>
      <c r="G13" s="4" t="inlineStr">
        <is>
          <t>#5</t>
        </is>
      </c>
    </row>
    <row r="14">
      <c r="A14" s="4" t="inlineStr">
        <is>
          <t>Alimentació</t>
        </is>
      </c>
      <c r="B14" s="4" t="inlineStr">
        <is>
          <t>SAI rack 1500 VA / 1000 W</t>
        </is>
      </c>
      <c r="C14" s="4" t="n">
        <v>1</v>
      </c>
      <c r="D14" s="5">
        <f>Comparativa!F14</f>
        <v/>
      </c>
      <c r="E14" s="5">
        <f>C14*D14</f>
        <v/>
      </c>
      <c r="F14" s="4">
        <f>Comparativa!G14</f>
        <v/>
      </c>
      <c r="G14" s="4" t="inlineStr">
        <is>
          <t>#5</t>
        </is>
      </c>
    </row>
    <row r="15">
      <c r="A15" s="4" t="inlineStr">
        <is>
          <t>Cablejat</t>
        </is>
      </c>
      <c r="B15" s="4" t="inlineStr">
        <is>
          <t>Bobina cable Cat6 U/UTP LSZH 305 m</t>
        </is>
      </c>
      <c r="C15" s="4" t="n">
        <v>1</v>
      </c>
      <c r="D15" s="5">
        <f>Comparativa!F15</f>
        <v/>
      </c>
      <c r="E15" s="5">
        <f>C15*D15</f>
        <v/>
      </c>
      <c r="F15" s="4">
        <f>Comparativa!G15</f>
        <v/>
      </c>
      <c r="G15" s="4" t="inlineStr">
        <is>
          <t>#6</t>
        </is>
      </c>
    </row>
    <row r="16">
      <c r="A16" s="4" t="inlineStr">
        <is>
          <t>Cablejat</t>
        </is>
      </c>
      <c r="B16" s="4" t="inlineStr">
        <is>
          <t>Connectors RJ45 Cat6 (bossa de 100)</t>
        </is>
      </c>
      <c r="C16" s="4" t="n">
        <v>1</v>
      </c>
      <c r="D16" s="5">
        <f>Comparativa!F16</f>
        <v/>
      </c>
      <c r="E16" s="5">
        <f>C16*D16</f>
        <v/>
      </c>
      <c r="F16" s="4">
        <f>Comparativa!G16</f>
        <v/>
      </c>
      <c r="G16" s="4" t="inlineStr">
        <is>
          <t>#6</t>
        </is>
      </c>
    </row>
    <row r="17">
      <c r="A17" s="4" t="inlineStr">
        <is>
          <t>Cablejat</t>
        </is>
      </c>
      <c r="B17" s="4" t="inlineStr">
        <is>
          <t>Latiguillo Cat6 1 m</t>
        </is>
      </c>
      <c r="C17" s="4" t="n">
        <v>20</v>
      </c>
      <c r="D17" s="5">
        <f>Comparativa!F17</f>
        <v/>
      </c>
      <c r="E17" s="5">
        <f>C17*D17</f>
        <v/>
      </c>
      <c r="F17" s="4">
        <f>Comparativa!G17</f>
        <v/>
      </c>
      <c r="G17" s="4" t="inlineStr">
        <is>
          <t>#6</t>
        </is>
      </c>
    </row>
    <row r="18">
      <c r="A18" s="4" t="inlineStr">
        <is>
          <t>Cablejat</t>
        </is>
      </c>
      <c r="B18" s="4" t="inlineStr">
        <is>
          <t>Canaleta, safata i brides (lot)</t>
        </is>
      </c>
      <c r="C18" s="4" t="n">
        <v>1</v>
      </c>
      <c r="D18" s="5">
        <f>Comparativa!F18</f>
        <v/>
      </c>
      <c r="E18" s="5">
        <f>C18*D18</f>
        <v/>
      </c>
      <c r="F18" s="4">
        <f>Comparativa!G18</f>
        <v/>
      </c>
      <c r="G18" s="4" t="inlineStr">
        <is>
          <t>#6</t>
        </is>
      </c>
    </row>
    <row r="20">
      <c r="D20" s="6" t="inlineStr">
        <is>
          <t>Base imposable</t>
        </is>
      </c>
      <c r="E20" s="7">
        <f>SUM(E5:E18)</f>
        <v/>
      </c>
    </row>
    <row r="21">
      <c r="D21" s="6" t="inlineStr">
        <is>
          <t>IVA (21 %)</t>
        </is>
      </c>
      <c r="E21" s="7">
        <f>E20*0.21</f>
        <v/>
      </c>
    </row>
    <row r="22">
      <c r="D22" s="6" t="inlineStr">
        <is>
          <t>TOTAL</t>
        </is>
      </c>
      <c r="E22" s="8">
        <f>E20+E21</f>
        <v/>
      </c>
    </row>
    <row r="24">
      <c r="A24" s="2" t="inlineStr">
        <is>
          <t>Eines (crimpadora, eina d'impacte, comprovador de cable, trepant, escala): les cedeix el centre educatiu i no s'inclouen al pressupost.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</cols>
  <sheetData>
    <row r="1">
      <c r="A1" s="9" t="inlineStr">
        <is>
          <t>Comparativa de preus entre dos proveïdors (sense IVA)</t>
        </is>
      </c>
    </row>
    <row r="2">
      <c r="A2" s="2" t="inlineStr">
        <is>
          <t>Es tria el preu més baix de cada línia. Si la diferència és inferior a 5 € es prefereix el Proveïdor 1 (mateix proveïdor per a tota la comanda).</t>
        </is>
      </c>
    </row>
    <row r="4">
      <c r="A4" s="10" t="inlineStr">
        <is>
          <t>Descripció</t>
        </is>
      </c>
      <c r="B4" s="10" t="inlineStr">
        <is>
          <t>Quantitat</t>
        </is>
      </c>
      <c r="C4" s="10" t="inlineStr">
        <is>
          <t>Proveïdor 1</t>
        </is>
      </c>
      <c r="D4" s="10" t="inlineStr">
        <is>
          <t>Proveïdor 2</t>
        </is>
      </c>
      <c r="E4" s="10" t="inlineStr">
        <is>
          <t>Diferència</t>
        </is>
      </c>
      <c r="F4" s="10" t="inlineStr">
        <is>
          <t>Preu triat</t>
        </is>
      </c>
      <c r="G4" s="10" t="inlineStr">
        <is>
          <t>Proveïdor triat</t>
        </is>
      </c>
    </row>
    <row r="5">
      <c r="A5" s="4" t="inlineStr">
        <is>
          <t>Punt d'accés UniFi 6 Lite (WiFi 6, PoE)</t>
        </is>
      </c>
      <c r="B5" s="4" t="n">
        <v>6</v>
      </c>
      <c r="C5" s="5" t="n">
        <v>99</v>
      </c>
      <c r="D5" s="5" t="n">
        <v>104.5</v>
      </c>
      <c r="E5" s="5">
        <f>C5-D5</f>
        <v/>
      </c>
      <c r="F5" s="5">
        <f>IF(G5="Proveïdor 2",D5,C5)</f>
        <v/>
      </c>
      <c r="G5" s="4">
        <f>IF(C5-D5&gt;=5,"Proveïdor 2","Proveïdor 1")</f>
        <v/>
      </c>
    </row>
    <row r="6">
      <c r="A6" s="4" t="inlineStr">
        <is>
          <t>Switch UniFi USW-24-PoE (24 ports GbE, 16 PoE+, 95 W)</t>
        </is>
      </c>
      <c r="B6" s="4" t="n">
        <v>1</v>
      </c>
      <c r="C6" s="5" t="n">
        <v>329</v>
      </c>
      <c r="D6" s="5" t="n">
        <v>345</v>
      </c>
      <c r="E6" s="5">
        <f>C6-D6</f>
        <v/>
      </c>
      <c r="F6" s="5">
        <f>IF(G6="Proveïdor 2",D6,C6)</f>
        <v/>
      </c>
      <c r="G6" s="4">
        <f>IF(C6-D6&gt;=5,"Proveïdor 2","Proveïdor 1")</f>
        <v/>
      </c>
    </row>
    <row r="7">
      <c r="A7" s="4" t="inlineStr">
        <is>
          <t>Servidor torre d'entrada (Xeon E-2300, 16 GB ECC, 2×1 TB RAID 1)</t>
        </is>
      </c>
      <c r="B7" s="4" t="n">
        <v>1</v>
      </c>
      <c r="C7" s="5" t="n">
        <v>1050</v>
      </c>
      <c r="D7" s="5" t="n">
        <v>1120</v>
      </c>
      <c r="E7" s="5">
        <f>C7-D7</f>
        <v/>
      </c>
      <c r="F7" s="5">
        <f>IF(G7="Proveïdor 2",D7,C7)</f>
        <v/>
      </c>
      <c r="G7" s="4">
        <f>IF(C7-D7&gt;=5,"Proveïdor 2","Proveïdor 1")</f>
        <v/>
      </c>
    </row>
    <row r="8">
      <c r="A8" s="4" t="inlineStr">
        <is>
          <t>Rack mural 19" 12U 600×450 mm (principal)</t>
        </is>
      </c>
      <c r="B8" s="4" t="n">
        <v>1</v>
      </c>
      <c r="C8" s="5" t="n">
        <v>149</v>
      </c>
      <c r="D8" s="5" t="n">
        <v>139</v>
      </c>
      <c r="E8" s="5">
        <f>C8-D8</f>
        <v/>
      </c>
      <c r="F8" s="5">
        <f>IF(G8="Proveïdor 2",D8,C8)</f>
        <v/>
      </c>
      <c r="G8" s="4">
        <f>IF(C8-D8&gt;=5,"Proveïdor 2","Proveïdor 1")</f>
        <v/>
      </c>
    </row>
    <row r="9">
      <c r="A9" s="4" t="inlineStr">
        <is>
          <t>Rack mural 19" 6U 600×450 mm (secundari)</t>
        </is>
      </c>
      <c r="B9" s="4" t="n">
        <v>2</v>
      </c>
      <c r="C9" s="5" t="n">
        <v>79</v>
      </c>
      <c r="D9" s="5" t="n">
        <v>84</v>
      </c>
      <c r="E9" s="5">
        <f>C9-D9</f>
        <v/>
      </c>
      <c r="F9" s="5">
        <f>IF(G9="Proveïdor 2",D9,C9)</f>
        <v/>
      </c>
      <c r="G9" s="4">
        <f>IF(C9-D9&gt;=5,"Proveïdor 2","Proveïdor 1")</f>
        <v/>
      </c>
    </row>
    <row r="10">
      <c r="A10" s="4" t="inlineStr">
        <is>
          <t>Patch panel Cat6 24 ports 1U</t>
        </is>
      </c>
      <c r="B10" s="4" t="n">
        <v>1</v>
      </c>
      <c r="C10" s="5" t="n">
        <v>35</v>
      </c>
      <c r="D10" s="5" t="n">
        <v>32.5</v>
      </c>
      <c r="E10" s="5">
        <f>C10-D10</f>
        <v/>
      </c>
      <c r="F10" s="5">
        <f>IF(G10="Proveïdor 2",D10,C10)</f>
        <v/>
      </c>
      <c r="G10" s="4">
        <f>IF(C10-D10&gt;=5,"Proveïdor 2","Proveïdor 1")</f>
        <v/>
      </c>
    </row>
    <row r="11">
      <c r="A11" s="4" t="inlineStr">
        <is>
          <t>Patch panel Cat6 12 ports</t>
        </is>
      </c>
      <c r="B11" s="4" t="n">
        <v>2</v>
      </c>
      <c r="C11" s="5" t="n">
        <v>22</v>
      </c>
      <c r="D11" s="5" t="n">
        <v>24</v>
      </c>
      <c r="E11" s="5">
        <f>C11-D11</f>
        <v/>
      </c>
      <c r="F11" s="5">
        <f>IF(G11="Proveïdor 2",D11,C11)</f>
        <v/>
      </c>
      <c r="G11" s="4">
        <f>IF(C11-D11&gt;=5,"Proveïdor 2","Proveïdor 1")</f>
        <v/>
      </c>
    </row>
    <row r="12">
      <c r="A12" s="4" t="inlineStr">
        <is>
          <t>Organitzador de cables 1U</t>
        </is>
      </c>
      <c r="B12" s="4" t="n">
        <v>3</v>
      </c>
      <c r="C12" s="5" t="n">
        <v>12</v>
      </c>
      <c r="D12" s="5" t="n">
        <v>11.5</v>
      </c>
      <c r="E12" s="5">
        <f>C12-D12</f>
        <v/>
      </c>
      <c r="F12" s="5">
        <f>IF(G12="Proveïdor 2",D12,C12)</f>
        <v/>
      </c>
      <c r="G12" s="4">
        <f>IF(C12-D12&gt;=5,"Proveïdor 2","Proveïdor 1")</f>
        <v/>
      </c>
    </row>
    <row r="13">
      <c r="A13" s="4" t="inlineStr">
        <is>
          <t>Regleta d'alimentació PDU 19" 8 preses</t>
        </is>
      </c>
      <c r="B13" s="4" t="n">
        <v>1</v>
      </c>
      <c r="C13" s="5" t="n">
        <v>30</v>
      </c>
      <c r="D13" s="5" t="n">
        <v>28</v>
      </c>
      <c r="E13" s="5">
        <f>C13-D13</f>
        <v/>
      </c>
      <c r="F13" s="5">
        <f>IF(G13="Proveïdor 2",D13,C13)</f>
        <v/>
      </c>
      <c r="G13" s="4">
        <f>IF(C13-D13&gt;=5,"Proveïdor 2","Proveïdor 1")</f>
        <v/>
      </c>
    </row>
    <row r="14">
      <c r="A14" s="4" t="inlineStr">
        <is>
          <t>SAI rack 1500 VA / 1000 W</t>
        </is>
      </c>
      <c r="B14" s="4" t="n">
        <v>1</v>
      </c>
      <c r="C14" s="5" t="n">
        <v>290</v>
      </c>
      <c r="D14" s="5" t="n">
        <v>305</v>
      </c>
      <c r="E14" s="5">
        <f>C14-D14</f>
        <v/>
      </c>
      <c r="F14" s="5">
        <f>IF(G14="Proveïdor 2",D14,C14)</f>
        <v/>
      </c>
      <c r="G14" s="4">
        <f>IF(C14-D14&gt;=5,"Proveïdor 2","Proveïdor 1")</f>
        <v/>
      </c>
    </row>
    <row r="15">
      <c r="A15" s="4" t="inlineStr">
        <is>
          <t>Bobina cable Cat6 U/UTP LSZH 305 m</t>
        </is>
      </c>
      <c r="B15" s="4" t="n">
        <v>1</v>
      </c>
      <c r="C15" s="5" t="n">
        <v>119</v>
      </c>
      <c r="D15" s="5" t="n">
        <v>125</v>
      </c>
      <c r="E15" s="5">
        <f>C15-D15</f>
        <v/>
      </c>
      <c r="F15" s="5">
        <f>IF(G15="Proveïdor 2",D15,C15)</f>
        <v/>
      </c>
      <c r="G15" s="4">
        <f>IF(C15-D15&gt;=5,"Proveïdor 2","Proveïdor 1")</f>
        <v/>
      </c>
    </row>
    <row r="16">
      <c r="A16" s="4" t="inlineStr">
        <is>
          <t>Connectors RJ45 Cat6 (bossa de 100)</t>
        </is>
      </c>
      <c r="B16" s="4" t="n">
        <v>1</v>
      </c>
      <c r="C16" s="5" t="n">
        <v>19.5</v>
      </c>
      <c r="D16" s="5" t="n">
        <v>18</v>
      </c>
      <c r="E16" s="5">
        <f>C16-D16</f>
        <v/>
      </c>
      <c r="F16" s="5">
        <f>IF(G16="Proveïdor 2",D16,C16)</f>
        <v/>
      </c>
      <c r="G16" s="4">
        <f>IF(C16-D16&gt;=5,"Proveïdor 2","Proveïdor 1")</f>
        <v/>
      </c>
    </row>
    <row r="17">
      <c r="A17" s="4" t="inlineStr">
        <is>
          <t>Latiguillo Cat6 1 m</t>
        </is>
      </c>
      <c r="B17" s="4" t="n">
        <v>20</v>
      </c>
      <c r="C17" s="5" t="n">
        <v>2.4</v>
      </c>
      <c r="D17" s="5" t="n">
        <v>2.6</v>
      </c>
      <c r="E17" s="5">
        <f>C17-D17</f>
        <v/>
      </c>
      <c r="F17" s="5">
        <f>IF(G17="Proveïdor 2",D17,C17)</f>
        <v/>
      </c>
      <c r="G17" s="4">
        <f>IF(C17-D17&gt;=5,"Proveïdor 2","Proveïdor 1")</f>
        <v/>
      </c>
    </row>
    <row r="18">
      <c r="A18" s="4" t="inlineStr">
        <is>
          <t>Canaleta, safata i brides (lot)</t>
        </is>
      </c>
      <c r="B18" s="4" t="n">
        <v>1</v>
      </c>
      <c r="C18" s="5" t="n">
        <v>120</v>
      </c>
      <c r="D18" s="5" t="n">
        <v>135</v>
      </c>
      <c r="E18" s="5">
        <f>C18-D18</f>
        <v/>
      </c>
      <c r="F18" s="5">
        <f>IF(G18="Proveïdor 2",D18,C18)</f>
        <v/>
      </c>
      <c r="G18" s="4">
        <f>IF(C18-D18&gt;=5,"Proveïdor 2","Proveïdor 1")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</cols>
  <sheetData>
    <row r="1">
      <c r="A1" s="9" t="inlineStr">
        <is>
          <t>Comprovació del pressupost de potència PoE del switch</t>
        </is>
      </c>
    </row>
    <row r="3">
      <c r="A3" t="inlineStr">
        <is>
          <t>Consum màxim d'un UniFi 6 Lite (W)</t>
        </is>
      </c>
      <c r="B3" t="n">
        <v>12</v>
      </c>
    </row>
    <row r="4">
      <c r="A4" t="inlineStr">
        <is>
          <t>Nombre d'APs</t>
        </is>
      </c>
      <c r="B4" t="n">
        <v>6</v>
      </c>
    </row>
    <row r="5">
      <c r="A5" t="inlineStr">
        <is>
          <t>Consum total (W)</t>
        </is>
      </c>
      <c r="B5">
        <f>B3*B4</f>
        <v/>
      </c>
    </row>
    <row r="6">
      <c r="A6" t="inlineStr">
        <is>
          <t>Potència PoE del switch (W)</t>
        </is>
      </c>
      <c r="B6" t="n">
        <v>95</v>
      </c>
    </row>
    <row r="7">
      <c r="A7" t="inlineStr">
        <is>
          <t>Marge disponible (W)</t>
        </is>
      </c>
      <c r="B7">
        <f>B6-B5</f>
        <v/>
      </c>
    </row>
    <row r="8">
      <c r="A8" t="inlineStr">
        <is>
          <t>Ús del pressupost PoE</t>
        </is>
      </c>
      <c r="B8" s="11">
        <f>B5/B6</f>
        <v/>
      </c>
    </row>
    <row r="10">
      <c r="A10" s="12" t="inlineStr">
        <is>
          <t>Ports amb PoE+: 1 a 16. Els ports 17 a 24 NO subministren PoE.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2026-10-21T10:51:35Z</dcterms:created>
  <dcterms:modified xmlns:dcterms="http://purl.org/dc/terms/" xmlns:xsi="http://www.w3.org/2001/XMLSchema-instance" xsi:type="dcterms:W3CDTF">2026-10-21T10:51:35Z</dcterms:modified>
</cp:coreProperties>
</file>